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G\marco_administracion\pedidos\029_informe_cambio_marco\"/>
    </mc:Choice>
  </mc:AlternateContent>
  <bookViews>
    <workbookView xWindow="0" yWindow="0" windowWidth="28800" windowHeight="12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<sst xmlns="http://schemas.openxmlformats.org/spreadsheetml/2006/main" count="32" uniqueCount="32">
  <si>
    <t>Provincia</t>
  </si>
  <si>
    <t>UPM MM2010</t>
  </si>
  <si>
    <t>UPM MM2022</t>
  </si>
  <si>
    <t>Viviendas MM2010</t>
  </si>
  <si>
    <t>Viviendas MM2022</t>
  </si>
  <si>
    <t>Azuay</t>
  </si>
  <si>
    <t>Bolívar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</si>
  <si>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</si>
  <si>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</si>
  <si>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</si>
  <si>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</si>
  <si>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</si>
  <si>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</si>
  <si>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</si>
  <si>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</si>
  <si>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</si>
  <si>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Ríos</t>
  </si>
  <si>
    <t>Manabí</t>
  </si>
  <si>
    <t>Morona Santiago</t>
  </si>
  <si>
    <t>Napo</t>
  </si>
  <si>
    <t>Pastaza</t>
  </si>
  <si>
    <t>Pichincha</t>
  </si>
  <si>
    <t>Tungurahua</t>
  </si>
  <si>
    <t>Zamora Chinchipe</t>
  </si>
  <si>
    <t>Sucumbíos</t>
  </si>
  <si>
    <t>Orellana</t>
  </si>
  <si>
    <t>Santo Domingo</t>
  </si>
  <si>
    <t>Santa Elena</t>
  </si>
  <si>
    <t>Total</t>
  </si>
  <si>
    <t>Fuente: Elaboración propia.</t>
  </si>
  <si>
    <t>Crecimiento UPM</t>
  </si>
  <si>
    <t>Crecimiento Viviendas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</si>
</sst>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3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justify" vertical="center" wrapText="1"/>
    </xf>
    <xf numFmtId="3" fontId="3" fillId="0" borderId="1" xfId="0" applyNumberFormat="1" applyFont="1" applyBorder="1" applyAlignment="1">
      <alignment horizontal="right" vertical="center" wrapText="1"/>
    </xf>
    <xf numFmtId="168" fontId="3" fillId="0" borderId="0" xfId="1" applyNumberFormat="1" applyFont="1" applyAlignment="1">
      <alignment horizontal="right" vertical="center" wrapText="1"/>
    </xf>
    <xf numFmtId="168" fontId="3" fillId="0" borderId="1" xfId="1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N19" sqref="N19"/>
    </sheetView>
  </sheetViews>
  <sheetFormatPr baseColWidth="10" defaultRowHeight="15" x14ac:dyDescent="0.25"/>
  <sheetData>
    <row r="1" spans="1:7" ht="23.25" thickBot="1" x14ac:dyDescent="0.3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4</v>
      </c>
      <c r="G1" s="1" t="s">
        <v>31</v>
      </c>
    </row>
    <row r="2" spans="1:7" x14ac:dyDescent="0.25">
      <c r="A2" s="2" t="s">
        <v>5</v>
      </c>
      <c r="B2" s="3">
        <v>1924</v>
      </c>
      <c r="C2" s="3">
        <v>2709</v>
      </c>
      <c r="D2" s="7">
        <f>(C2-B2)/B2</f>
        <v>0.40800415800415801</v>
      </c>
      <c r="E2" s="3">
        <v>181359</v>
      </c>
      <c r="F2" s="3">
        <v>222354</v>
      </c>
      <c r="G2" s="7">
        <f>(F2-E2)/E2</f>
        <v>0.22604337253734305</v>
      </c>
    </row>
    <row r="3" spans="1:7" x14ac:dyDescent="0.25">
      <c r="A3" s="2" t="s">
        <v>6</v>
      </c>
      <c r="B3" s="4">
        <v>496</v>
      </c>
      <c r="C3" s="4">
        <v>651</v>
      </c>
      <c r="D3" s="7">
        <f t="shared" ref="D3:D25" si="0">(C3-B3)/B3</f>
        <v>0.3125</v>
      </c>
      <c r="E3" s="3">
        <v>46122</v>
      </c>
      <c r="F3" s="3">
        <v>52734</v>
      </c>
      <c r="G3" s="7">
        <f t="shared" ref="G3:G25" si="1">(F3-E3)/E3</f>
        <v>0.14335891765318071</v>
      </c>
    </row>
    <row r="4" spans="1:7" x14ac:dyDescent="0.25">
      <c r="A4" s="2" t="s">
        <v>7</v>
      </c>
      <c r="B4" s="4">
        <v>576</v>
      </c>
      <c r="C4" s="4">
        <v>820</v>
      </c>
      <c r="D4" s="7">
        <f t="shared" si="0"/>
        <v>0.4236111111111111</v>
      </c>
      <c r="E4" s="3">
        <v>56745</v>
      </c>
      <c r="F4" s="3">
        <v>66679</v>
      </c>
      <c r="G4" s="7">
        <f t="shared" si="1"/>
        <v>0.17506388228037711</v>
      </c>
    </row>
    <row r="5" spans="1:7" x14ac:dyDescent="0.25">
      <c r="A5" s="2" t="s">
        <v>8</v>
      </c>
      <c r="B5" s="4">
        <v>374</v>
      </c>
      <c r="C5" s="4">
        <v>606</v>
      </c>
      <c r="D5" s="7">
        <f t="shared" si="0"/>
        <v>0.6203208556149733</v>
      </c>
      <c r="E5" s="3">
        <v>43923</v>
      </c>
      <c r="F5" s="3">
        <v>49007</v>
      </c>
      <c r="G5" s="7">
        <f t="shared" si="1"/>
        <v>0.11574801356920064</v>
      </c>
    </row>
    <row r="6" spans="1:7" x14ac:dyDescent="0.25">
      <c r="A6" s="2" t="s">
        <v>9</v>
      </c>
      <c r="B6" s="3">
        <v>1097</v>
      </c>
      <c r="C6" s="3">
        <v>1478</v>
      </c>
      <c r="D6" s="7">
        <f t="shared" si="0"/>
        <v>0.34731084776663629</v>
      </c>
      <c r="E6" s="3">
        <v>100202</v>
      </c>
      <c r="F6" s="3">
        <v>121333</v>
      </c>
      <c r="G6" s="7">
        <f t="shared" si="1"/>
        <v>0.2108840142911319</v>
      </c>
    </row>
    <row r="7" spans="1:7" x14ac:dyDescent="0.25">
      <c r="A7" s="2" t="s">
        <v>10</v>
      </c>
      <c r="B7" s="3">
        <v>1215</v>
      </c>
      <c r="C7" s="3">
        <v>1639</v>
      </c>
      <c r="D7" s="7">
        <f t="shared" si="0"/>
        <v>0.34897119341563787</v>
      </c>
      <c r="E7" s="3">
        <v>114597</v>
      </c>
      <c r="F7" s="3">
        <v>130445</v>
      </c>
      <c r="G7" s="7">
        <f t="shared" si="1"/>
        <v>0.13829332355995358</v>
      </c>
    </row>
    <row r="8" spans="1:7" x14ac:dyDescent="0.25">
      <c r="A8" s="2" t="s">
        <v>11</v>
      </c>
      <c r="B8" s="3">
        <v>1411</v>
      </c>
      <c r="C8" s="3">
        <v>2461</v>
      </c>
      <c r="D8" s="7">
        <f t="shared" si="0"/>
        <v>0.744153082919915</v>
      </c>
      <c r="E8" s="3">
        <v>160519</v>
      </c>
      <c r="F8" s="3">
        <v>193773</v>
      </c>
      <c r="G8" s="7">
        <f t="shared" si="1"/>
        <v>0.20716550688703517</v>
      </c>
    </row>
    <row r="9" spans="1:7" x14ac:dyDescent="0.25">
      <c r="A9" s="2" t="s">
        <v>12</v>
      </c>
      <c r="B9" s="4">
        <v>997</v>
      </c>
      <c r="C9" s="3">
        <v>1841</v>
      </c>
      <c r="D9" s="7">
        <f t="shared" si="0"/>
        <v>0.8465396188565697</v>
      </c>
      <c r="E9" s="3">
        <v>116307</v>
      </c>
      <c r="F9" s="3">
        <v>151871</v>
      </c>
      <c r="G9" s="7">
        <f t="shared" si="1"/>
        <v>0.3057769523760393</v>
      </c>
    </row>
    <row r="10" spans="1:7" x14ac:dyDescent="0.25">
      <c r="A10" s="2" t="s">
        <v>13</v>
      </c>
      <c r="B10" s="3">
        <v>8588</v>
      </c>
      <c r="C10" s="3">
        <v>14414</v>
      </c>
      <c r="D10" s="7">
        <f t="shared" si="0"/>
        <v>0.67838844899860273</v>
      </c>
      <c r="E10" s="3">
        <v>938407</v>
      </c>
      <c r="F10" s="3">
        <v>1148826</v>
      </c>
      <c r="G10" s="7">
        <f t="shared" si="1"/>
        <v>0.22422999828432652</v>
      </c>
    </row>
    <row r="11" spans="1:7" x14ac:dyDescent="0.25">
      <c r="A11" s="2" t="s">
        <v>14</v>
      </c>
      <c r="B11" s="4">
        <v>863</v>
      </c>
      <c r="C11" s="3">
        <v>1590</v>
      </c>
      <c r="D11" s="7">
        <f t="shared" si="0"/>
        <v>0.84241019698725372</v>
      </c>
      <c r="E11" s="3">
        <v>104598</v>
      </c>
      <c r="F11" s="3">
        <v>129100</v>
      </c>
      <c r="G11" s="7">
        <f t="shared" si="1"/>
        <v>0.23424922082640204</v>
      </c>
    </row>
    <row r="12" spans="1:7" x14ac:dyDescent="0.25">
      <c r="A12" s="2" t="s">
        <v>15</v>
      </c>
      <c r="B12" s="3">
        <v>1079</v>
      </c>
      <c r="C12" s="3">
        <v>1582</v>
      </c>
      <c r="D12" s="7">
        <f t="shared" si="0"/>
        <v>0.46617238183503246</v>
      </c>
      <c r="E12" s="3">
        <v>110928</v>
      </c>
      <c r="F12" s="3">
        <v>129232</v>
      </c>
      <c r="G12" s="7">
        <f t="shared" si="1"/>
        <v>0.16500793307370545</v>
      </c>
    </row>
    <row r="13" spans="1:7" x14ac:dyDescent="0.25">
      <c r="A13" s="2" t="s">
        <v>16</v>
      </c>
      <c r="B13" s="3">
        <v>1760</v>
      </c>
      <c r="C13" s="3">
        <v>2989</v>
      </c>
      <c r="D13" s="7">
        <f t="shared" si="0"/>
        <v>0.6982954545454545</v>
      </c>
      <c r="E13" s="3">
        <v>189694</v>
      </c>
      <c r="F13" s="3">
        <v>242871</v>
      </c>
      <c r="G13" s="7">
        <f t="shared" si="1"/>
        <v>0.28033042689805687</v>
      </c>
    </row>
    <row r="14" spans="1:7" x14ac:dyDescent="0.25">
      <c r="A14" s="2" t="s">
        <v>17</v>
      </c>
      <c r="B14" s="3">
        <v>2955</v>
      </c>
      <c r="C14" s="3">
        <v>5176</v>
      </c>
      <c r="D14" s="7">
        <f t="shared" si="0"/>
        <v>0.75160744500846022</v>
      </c>
      <c r="E14" s="3">
        <v>320021</v>
      </c>
      <c r="F14" s="3">
        <v>419402</v>
      </c>
      <c r="G14" s="7">
        <f t="shared" si="1"/>
        <v>0.31054524546826612</v>
      </c>
    </row>
    <row r="15" spans="1:7" ht="22.5" x14ac:dyDescent="0.25">
      <c r="A15" s="2" t="s">
        <v>18</v>
      </c>
      <c r="B15" s="4">
        <v>347</v>
      </c>
      <c r="C15" s="4">
        <v>586</v>
      </c>
      <c r="D15" s="7">
        <f t="shared" si="0"/>
        <v>0.68876080691642649</v>
      </c>
      <c r="E15" s="3">
        <v>34563</v>
      </c>
      <c r="F15" s="3">
        <v>45426</v>
      </c>
      <c r="G15" s="7">
        <f t="shared" si="1"/>
        <v>0.31429563405954342</v>
      </c>
    </row>
    <row r="16" spans="1:7" x14ac:dyDescent="0.25">
      <c r="A16" s="2" t="s">
        <v>19</v>
      </c>
      <c r="B16" s="4">
        <v>211</v>
      </c>
      <c r="C16" s="4">
        <v>363</v>
      </c>
      <c r="D16" s="7">
        <f t="shared" si="0"/>
        <v>0.72037914691943128</v>
      </c>
      <c r="E16" s="3">
        <v>24091</v>
      </c>
      <c r="F16" s="3">
        <v>29063</v>
      </c>
      <c r="G16" s="7">
        <f t="shared" si="1"/>
        <v>0.2063841268523515</v>
      </c>
    </row>
    <row r="17" spans="1:7" x14ac:dyDescent="0.25">
      <c r="A17" s="2" t="s">
        <v>20</v>
      </c>
      <c r="B17" s="4">
        <v>192</v>
      </c>
      <c r="C17" s="4">
        <v>346</v>
      </c>
      <c r="D17" s="7">
        <f t="shared" si="0"/>
        <v>0.80208333333333337</v>
      </c>
      <c r="E17" s="3">
        <v>21361</v>
      </c>
      <c r="F17" s="3">
        <v>28333</v>
      </c>
      <c r="G17" s="7">
        <f t="shared" si="1"/>
        <v>0.32638921398810916</v>
      </c>
    </row>
    <row r="18" spans="1:7" x14ac:dyDescent="0.25">
      <c r="A18" s="2" t="s">
        <v>21</v>
      </c>
      <c r="B18" s="3">
        <v>6526</v>
      </c>
      <c r="C18" s="3">
        <v>10494</v>
      </c>
      <c r="D18" s="7">
        <f t="shared" si="0"/>
        <v>0.60802942077842481</v>
      </c>
      <c r="E18" s="3">
        <v>732845</v>
      </c>
      <c r="F18" s="3">
        <v>915248</v>
      </c>
      <c r="G18" s="7">
        <f t="shared" si="1"/>
        <v>0.24889710648227115</v>
      </c>
    </row>
    <row r="19" spans="1:7" x14ac:dyDescent="0.25">
      <c r="A19" s="2" t="s">
        <v>22</v>
      </c>
      <c r="B19" s="3">
        <v>1489</v>
      </c>
      <c r="C19" s="3">
        <v>2002</v>
      </c>
      <c r="D19" s="7">
        <f t="shared" si="0"/>
        <v>0.34452652787105442</v>
      </c>
      <c r="E19" s="3">
        <v>138560</v>
      </c>
      <c r="F19" s="3">
        <v>164904</v>
      </c>
      <c r="G19" s="7">
        <f t="shared" si="1"/>
        <v>0.1901270207852194</v>
      </c>
    </row>
    <row r="20" spans="1:7" ht="22.5" x14ac:dyDescent="0.25">
      <c r="A20" s="2" t="s">
        <v>23</v>
      </c>
      <c r="B20" s="4">
        <v>211</v>
      </c>
      <c r="C20" s="4">
        <v>342</v>
      </c>
      <c r="D20" s="7">
        <f t="shared" si="0"/>
        <v>0.62085308056872035</v>
      </c>
      <c r="E20" s="3">
        <v>23108</v>
      </c>
      <c r="F20" s="3">
        <v>27827</v>
      </c>
      <c r="G20" s="7">
        <f t="shared" si="1"/>
        <v>0.20421499047948763</v>
      </c>
    </row>
    <row r="21" spans="1:7" x14ac:dyDescent="0.25">
      <c r="A21" s="2" t="s">
        <v>24</v>
      </c>
      <c r="B21" s="4">
        <v>380</v>
      </c>
      <c r="C21" s="4">
        <v>672</v>
      </c>
      <c r="D21" s="7">
        <f t="shared" si="0"/>
        <v>0.76842105263157889</v>
      </c>
      <c r="E21" s="3">
        <v>43234</v>
      </c>
      <c r="F21" s="3">
        <v>55434</v>
      </c>
      <c r="G21" s="7">
        <f t="shared" si="1"/>
        <v>0.28218531711153261</v>
      </c>
    </row>
    <row r="22" spans="1:7" x14ac:dyDescent="0.25">
      <c r="A22" s="2" t="s">
        <v>25</v>
      </c>
      <c r="B22" s="4">
        <v>281</v>
      </c>
      <c r="C22" s="4">
        <v>560</v>
      </c>
      <c r="D22" s="7">
        <f t="shared" si="0"/>
        <v>0.99288256227758009</v>
      </c>
      <c r="E22" s="3">
        <v>33317</v>
      </c>
      <c r="F22" s="3">
        <v>44979</v>
      </c>
      <c r="G22" s="7">
        <f t="shared" si="1"/>
        <v>0.35003151544256683</v>
      </c>
    </row>
    <row r="23" spans="1:7" x14ac:dyDescent="0.25">
      <c r="A23" s="2" t="s">
        <v>26</v>
      </c>
      <c r="B23" s="4">
        <v>904</v>
      </c>
      <c r="C23" s="3">
        <v>1668</v>
      </c>
      <c r="D23" s="7">
        <f t="shared" si="0"/>
        <v>0.84513274336283184</v>
      </c>
      <c r="E23" s="3">
        <v>107630</v>
      </c>
      <c r="F23" s="3">
        <v>131641</v>
      </c>
      <c r="G23" s="7">
        <f t="shared" si="1"/>
        <v>0.22308835826442441</v>
      </c>
    </row>
    <row r="24" spans="1:7" ht="15.75" thickBot="1" x14ac:dyDescent="0.3">
      <c r="A24" s="2" t="s">
        <v>27</v>
      </c>
      <c r="B24" s="4">
        <v>472</v>
      </c>
      <c r="C24" s="3">
        <v>1138</v>
      </c>
      <c r="D24" s="7">
        <f t="shared" si="0"/>
        <v>1.4110169491525424</v>
      </c>
      <c r="E24" s="3">
        <v>67667</v>
      </c>
      <c r="F24" s="3">
        <v>86937</v>
      </c>
      <c r="G24" s="7">
        <f t="shared" si="1"/>
        <v>0.28477692228117102</v>
      </c>
    </row>
    <row r="25" spans="1:7" ht="15.75" thickBot="1" x14ac:dyDescent="0.3">
      <c r="A25" s="5" t="s">
        <v>28</v>
      </c>
      <c r="B25" s="6">
        <v>34348</v>
      </c>
      <c r="C25" s="6">
        <v>56127</v>
      </c>
      <c r="D25" s="8">
        <f t="shared" si="0"/>
        <v>0.63406894142308146</v>
      </c>
      <c r="E25" s="6">
        <v>3709798</v>
      </c>
      <c r="F25" s="6">
        <v>4587419</v>
      </c>
      <c r="G25" s="8">
        <f t="shared" si="1"/>
        <v>0.23656840615041574</v>
      </c>
    </row>
    <row r="26" spans="1:7" ht="33.75" customHeight="1" x14ac:dyDescent="0.25">
      <c r="A26" s="9" t="s">
        <v>29</v>
      </c>
      <c r="B26" s="9"/>
      <c r="C26" s="9"/>
      <c r="D26" s="9"/>
      <c r="E26" s="9"/>
      <c r="F26" s="9"/>
      <c r="G26" s="9"/>
    </row>
  </sheetData>
  <mergeCells count="1">
    <mergeCell ref="A26:G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Angel Gaibor</dc:creator>
  <cp:lastModifiedBy>INEC Angel Gaibor</cp:lastModifiedBy>
  <dcterms:created xsi:type="dcterms:W3CDTF">2025-11-21T17:03:52Z</dcterms:created>
  <dcterms:modified xsi:type="dcterms:W3CDTF">2025-11-21T21:22:22Z</dcterms:modified>
</cp:coreProperties>
</file>